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atriate WA\Millionaire Tax Project\WA State Millionaires Tax by Leg District - Budgetandpolicy.org\"/>
    </mc:Choice>
  </mc:AlternateContent>
  <xr:revisionPtr revIDLastSave="0" documentId="13_ncr:9_{6A2B60A8-6A1D-46CF-8923-902CFEAA455B}" xr6:coauthVersionLast="47" xr6:coauthVersionMax="47" xr10:uidLastSave="{00000000-0000-0000-0000-000000000000}"/>
  <bookViews>
    <workbookView xWindow="-120" yWindow="-120" windowWidth="29040" windowHeight="15720" xr2:uid="{0CA8FDC4-16A2-40FE-800E-FBA59417503B}"/>
  </bookViews>
  <sheets>
    <sheet name="Washington State Millionaires T" sheetId="1" r:id="rId1"/>
  </sheets>
  <calcPr calcId="0"/>
</workbook>
</file>

<file path=xl/calcChain.xml><?xml version="1.0" encoding="utf-8"?>
<calcChain xmlns="http://schemas.openxmlformats.org/spreadsheetml/2006/main">
  <c r="S48" i="1" l="1"/>
  <c r="S28" i="1"/>
  <c r="S30" i="1"/>
  <c r="S9" i="1"/>
  <c r="S33" i="1"/>
  <c r="S44" i="1"/>
  <c r="S19" i="1"/>
  <c r="S21" i="1"/>
  <c r="S27" i="1"/>
  <c r="S35" i="1"/>
  <c r="S23" i="1"/>
  <c r="S36" i="1"/>
  <c r="S50" i="1"/>
  <c r="S20" i="1"/>
  <c r="S37" i="1"/>
  <c r="S10" i="1"/>
  <c r="S31" i="1"/>
  <c r="S46" i="1"/>
  <c r="S17" i="1"/>
  <c r="S25" i="1"/>
  <c r="S32" i="1"/>
  <c r="S12" i="1"/>
  <c r="S34" i="1"/>
  <c r="S39" i="1"/>
  <c r="S24" i="1"/>
  <c r="S22" i="1"/>
  <c r="S38" i="1"/>
  <c r="S49" i="1"/>
  <c r="S47" i="1"/>
  <c r="S18" i="1"/>
  <c r="S13" i="1"/>
  <c r="S41" i="1"/>
  <c r="S11" i="1"/>
  <c r="S40" i="1"/>
  <c r="S6" i="1"/>
  <c r="S14" i="1"/>
  <c r="S45" i="1"/>
  <c r="S43" i="1"/>
  <c r="S15" i="1"/>
  <c r="S3" i="1"/>
  <c r="S26" i="1"/>
  <c r="S4" i="1"/>
  <c r="S29" i="1"/>
  <c r="S5" i="1"/>
  <c r="S7" i="1"/>
  <c r="S42" i="1"/>
  <c r="S2" i="1"/>
  <c r="S16" i="1"/>
  <c r="S8" i="1"/>
  <c r="L50" i="1"/>
  <c r="L49" i="1"/>
  <c r="G48" i="1"/>
  <c r="L48" i="1" s="1"/>
  <c r="G28" i="1"/>
  <c r="L28" i="1" s="1"/>
  <c r="G30" i="1"/>
  <c r="L30" i="1" s="1"/>
  <c r="G9" i="1"/>
  <c r="L9" i="1" s="1"/>
  <c r="G33" i="1"/>
  <c r="L33" i="1" s="1"/>
  <c r="G44" i="1"/>
  <c r="L44" i="1" s="1"/>
  <c r="G19" i="1"/>
  <c r="L19" i="1" s="1"/>
  <c r="G21" i="1"/>
  <c r="L21" i="1" s="1"/>
  <c r="G27" i="1"/>
  <c r="L27" i="1" s="1"/>
  <c r="G35" i="1"/>
  <c r="L35" i="1" s="1"/>
  <c r="G23" i="1"/>
  <c r="L23" i="1" s="1"/>
  <c r="G36" i="1"/>
  <c r="L36" i="1" s="1"/>
  <c r="G20" i="1"/>
  <c r="L20" i="1" s="1"/>
  <c r="G37" i="1"/>
  <c r="L37" i="1" s="1"/>
  <c r="G10" i="1"/>
  <c r="L10" i="1" s="1"/>
  <c r="G31" i="1"/>
  <c r="L31" i="1" s="1"/>
  <c r="G46" i="1"/>
  <c r="L46" i="1" s="1"/>
  <c r="G17" i="1"/>
  <c r="L17" i="1" s="1"/>
  <c r="G25" i="1"/>
  <c r="L25" i="1" s="1"/>
  <c r="G32" i="1"/>
  <c r="L32" i="1" s="1"/>
  <c r="G12" i="1"/>
  <c r="L12" i="1" s="1"/>
  <c r="G34" i="1"/>
  <c r="L34" i="1" s="1"/>
  <c r="G39" i="1"/>
  <c r="L39" i="1" s="1"/>
  <c r="G24" i="1"/>
  <c r="L24" i="1" s="1"/>
  <c r="G22" i="1"/>
  <c r="L22" i="1" s="1"/>
  <c r="G38" i="1"/>
  <c r="L38" i="1" s="1"/>
  <c r="G47" i="1"/>
  <c r="L47" i="1" s="1"/>
  <c r="G18" i="1"/>
  <c r="L18" i="1" s="1"/>
  <c r="G13" i="1"/>
  <c r="L13" i="1" s="1"/>
  <c r="G41" i="1"/>
  <c r="L41" i="1" s="1"/>
  <c r="G11" i="1"/>
  <c r="L11" i="1" s="1"/>
  <c r="G40" i="1"/>
  <c r="L40" i="1" s="1"/>
  <c r="G6" i="1"/>
  <c r="L6" i="1" s="1"/>
  <c r="G14" i="1"/>
  <c r="L14" i="1" s="1"/>
  <c r="G45" i="1"/>
  <c r="L45" i="1" s="1"/>
  <c r="G43" i="1"/>
  <c r="L43" i="1" s="1"/>
  <c r="G15" i="1"/>
  <c r="L15" i="1" s="1"/>
  <c r="G3" i="1"/>
  <c r="L3" i="1" s="1"/>
  <c r="G26" i="1"/>
  <c r="L26" i="1" s="1"/>
  <c r="G4" i="1"/>
  <c r="L4" i="1" s="1"/>
  <c r="G29" i="1"/>
  <c r="L29" i="1" s="1"/>
  <c r="G5" i="1"/>
  <c r="L5" i="1" s="1"/>
  <c r="G7" i="1"/>
  <c r="L7" i="1" s="1"/>
  <c r="G42" i="1"/>
  <c r="L42" i="1" s="1"/>
  <c r="G2" i="1"/>
  <c r="L2" i="1" s="1"/>
  <c r="G16" i="1"/>
  <c r="L16" i="1" s="1"/>
  <c r="G8" i="1"/>
  <c r="L8" i="1" s="1"/>
</calcChain>
</file>

<file path=xl/sharedStrings.xml><?xml version="1.0" encoding="utf-8"?>
<sst xmlns="http://schemas.openxmlformats.org/spreadsheetml/2006/main" count="120" uniqueCount="120">
  <si>
    <t>Unnamed: 0</t>
  </si>
  <si>
    <t>Unnamed: 1</t>
  </si>
  <si>
    <t>Legislative District</t>
  </si>
  <si>
    <t>LD Area Name</t>
  </si>
  <si>
    <t>Estimated Number of Millionaires Tax Payers</t>
  </si>
  <si>
    <t>Estimated Average Annual Income per Millionaires Tax Payer</t>
  </si>
  <si>
    <t>Minus 1M * 0.1</t>
  </si>
  <si>
    <t>Median Annual Household Income</t>
  </si>
  <si>
    <t>Residents per District</t>
  </si>
  <si>
    <t>Total Tax Raised (ind)</t>
  </si>
  <si>
    <t>District Share (49 Districts)</t>
  </si>
  <si>
    <t>Net Model 1</t>
  </si>
  <si>
    <t>LD(Randy)</t>
  </si>
  <si>
    <t>Key Communities / Coverage Status Tax Paid ($M) Reinvested</t>
  </si>
  <si>
    <t>Tax Paid</t>
  </si>
  <si>
    <t>Reinvested</t>
  </si>
  <si>
    <t>Net Model 2</t>
  </si>
  <si>
    <t xml:space="preserve">Delta </t>
  </si>
  <si>
    <t>Bothell, Woodinville</t>
  </si>
  <si>
    <t>Bothell / Mountlake Terrace / Brier Net Outflow −</t>
  </si>
  <si>
    <t>Graham, Eatonville</t>
  </si>
  <si>
    <t>Graham / Yelm / Eatonville Net Inflow −</t>
  </si>
  <si>
    <t>Spokane</t>
  </si>
  <si>
    <t>Spokane (Downtown &amp; Central) Net Inflow −</t>
  </si>
  <si>
    <t>Spokane Valley</t>
  </si>
  <si>
    <t>Spokane Valley / Liberty Lake Net Inflow −</t>
  </si>
  <si>
    <t>Issaquah, Enumclaw</t>
  </si>
  <si>
    <t>Sammamish / Issaquah / Maple Valley Net Outflow −</t>
  </si>
  <si>
    <t>Spokane, Airway Heights</t>
  </si>
  <si>
    <t>Spokane (South &amp; West) / Cheney Net Inflow −</t>
  </si>
  <si>
    <t>Wenatchee, Colville</t>
  </si>
  <si>
    <t>Okanogan / Ferry / Stevens / Pend Oreille Net Inflow −</t>
  </si>
  <si>
    <t>Kennewick</t>
  </si>
  <si>
    <t>Richland / West Richland / Kennewick (North) Net Inflow −</t>
  </si>
  <si>
    <t>Pullman, Ritzville</t>
  </si>
  <si>
    <t>Pullman / Clarkston / Whitman County Net Inflow −</t>
  </si>
  <si>
    <t>Whidbey Island, La Conner</t>
  </si>
  <si>
    <t>Whidbey Island / Camano Island / Stanwood Net Inflow −</t>
  </si>
  <si>
    <t>Average all 49 (row F)</t>
  </si>
  <si>
    <t>Renton, Tukwila</t>
  </si>
  <si>
    <t>Tukwila / Renton / SeaTac (North) Net Inflow −</t>
  </si>
  <si>
    <t>Avg 10% after 1M exemp</t>
  </si>
  <si>
    <t>Monroe, Chelan</t>
  </si>
  <si>
    <t>Wenatchee / Chelan / Leavenworth Net Inflow −</t>
  </si>
  <si>
    <t>Moses Lake, Ellensburg</t>
  </si>
  <si>
    <t>Ellensburg / Moses Lake / Quincy Net Inflow −</t>
  </si>
  <si>
    <t>District Share (3.5B/49)</t>
  </si>
  <si>
    <t>Yakima, Pasco</t>
  </si>
  <si>
    <t>Yakima Valley / Klickitat / Skamania Net Inflow −</t>
  </si>
  <si>
    <t>Yakima, Naches</t>
  </si>
  <si>
    <t>Yakima / Selah / Moxee Net Inflow −</t>
  </si>
  <si>
    <t>Richland, Walla Walla</t>
  </si>
  <si>
    <t>Pasco / Walla Walla / Prosser Net Inflow −</t>
  </si>
  <si>
    <t>Camas, Vancouver</t>
  </si>
  <si>
    <t>Vancouver (East) / Orchards Net Inflow −</t>
  </si>
  <si>
    <t>Battle Ground, Vancouver</t>
  </si>
  <si>
    <t>Battle Ground / Camas / Washougal Net Outflow −</t>
  </si>
  <si>
    <t>Longview, Aberdeen</t>
  </si>
  <si>
    <t>Longview / Kelso / Pacific Coast Net Inflow −</t>
  </si>
  <si>
    <t>Centralia, Woodland</t>
  </si>
  <si>
    <t>Centralia / Chehalis / Ridgefield Net Inflow −</t>
  </si>
  <si>
    <t>Edmonds, Mukilteo</t>
  </si>
  <si>
    <t>Edmonds / Mukilteo / Lynnwood (West) Net Outflow −</t>
  </si>
  <si>
    <t>Olympia, Lacey</t>
  </si>
  <si>
    <t>Olympia / Tumwater / Lacey Net Inflow −</t>
  </si>
  <si>
    <t>Bainbridge Island, Poulsbo</t>
  </si>
  <si>
    <t>Bainbridge Island / Poulsbo / Silverdale Net Inflow −</t>
  </si>
  <si>
    <t>Port Angeles, Forks</t>
  </si>
  <si>
    <t>Port Angeles / Port Townsend / Grays Harbor Net Inflow −</t>
  </si>
  <si>
    <t>Puyallup, South Hill</t>
  </si>
  <si>
    <t>Puyallup / Fife / Summit Net Inflow −</t>
  </si>
  <si>
    <t>Gig Harbor, Bremerton</t>
  </si>
  <si>
    <t>Gig Harbor / Port Orchard / Key Peninsula Net Inflow −</t>
  </si>
  <si>
    <t>Tacoma</t>
  </si>
  <si>
    <t>Tacoma (North &amp; Central) Net Inflow −</t>
  </si>
  <si>
    <t>Lakewood, University Place</t>
  </si>
  <si>
    <t>University Place / Lakewood / Fircrest Net Inflow −</t>
  </si>
  <si>
    <t>Parkland, Spanaway</t>
  </si>
  <si>
    <t>South Tacoma / Parkland / Spanaway Net Inflow −</t>
  </si>
  <si>
    <t>Federal Way, Auburn</t>
  </si>
  <si>
    <t>Federal Way / Milton / Algona Net Inflow −</t>
  </si>
  <si>
    <t>Bonney Lake</t>
  </si>
  <si>
    <t>Auburn / Enumclaw / Bonney Lake Net Inflow −</t>
  </si>
  <si>
    <t>Shoreline, Lynnwood</t>
  </si>
  <si>
    <t>Shoreline / Lynnwood / Edmonds (East) Net Inflow −</t>
  </si>
  <si>
    <t>Kent, Des Moines</t>
  </si>
  <si>
    <t>Des Moines / SeaTac / Kent (West) Net Inflow −</t>
  </si>
  <si>
    <t>West Seattle, Vashon Island</t>
  </si>
  <si>
    <t>West Seattle / Burien / Vashon Island Net Outflow −</t>
  </si>
  <si>
    <t>Shelton, Rochester</t>
  </si>
  <si>
    <t>Mason County / Shelton / Belfair Net Inflow −</t>
  </si>
  <si>
    <t>Seattle (Ballard, Queen Anne)</t>
  </si>
  <si>
    <t>Seattle (Ballard / Queen Anne / Magnolia) Net Outflow −</t>
  </si>
  <si>
    <t>Seattle (Central District, Beacon Hill)</t>
  </si>
  <si>
    <t>South Seattle / Renton (North) Net Outflow −</t>
  </si>
  <si>
    <t>Everett, Marysville</t>
  </si>
  <si>
    <t>Everett / Marysville / Tulalip Net Inflow −</t>
  </si>
  <si>
    <t>Sedro-Woolley, Lake Stevens</t>
  </si>
  <si>
    <t>Monroe / Sultan / Sedro-Woolley Net Inflow −</t>
  </si>
  <si>
    <t>Anacortes, San Juan Islands</t>
  </si>
  <si>
    <t>Anacortes / San Juan Islands / Mount Vernon Net Inflow −</t>
  </si>
  <si>
    <t>Mercer Island, Sammamish</t>
  </si>
  <si>
    <t>Mercer Island / Bellevue (South) / Newcastle Net Outflow −</t>
  </si>
  <si>
    <t>Bellingham, Lynden</t>
  </si>
  <si>
    <t>Bellingham / Ferndale / Lynden Net Inflow −</t>
  </si>
  <si>
    <t>Seattle (Capitol Hill, University District)</t>
  </si>
  <si>
    <t>Seattle (Capitol Hill / Univ / Downtown) Net Outflow −</t>
  </si>
  <si>
    <t>Snohomish, Mill Creek</t>
  </si>
  <si>
    <t>Lake Stevens / Snohomish / Mill Creek Net Outflow −</t>
  </si>
  <si>
    <t>Redmond, Kirkland</t>
  </si>
  <si>
    <t>Kirkland (North) / Woodinville / Redmond Net Outflow −</t>
  </si>
  <si>
    <t>Seattle (Green Lake, Lake City)</t>
  </si>
  <si>
    <t>North Seattle / Lake Forest Park / Kenmore Net Outflow −</t>
  </si>
  <si>
    <t>Auburn, Covington</t>
  </si>
  <si>
    <t>Covington / Black Diamond / Kent (East) Net Outflow −</t>
  </si>
  <si>
    <t>Bellevue, Redmond</t>
  </si>
  <si>
    <t>Bellevue / Redmond / Kirkland (South) Net Outflow −</t>
  </si>
  <si>
    <t>Vancouver</t>
  </si>
  <si>
    <t>Vancouver (West) / Hazel Dell Net Inflow −</t>
  </si>
  <si>
    <t>Tax Paid (ColG*ColE) per 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</si>
</sst>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6" fontId="0" fillId="0" borderId="0" xfId="0" applyNumberFormat="1"/>
    <xf numFmtId="3" fontId="0" fillId="0" borderId="0" xfId="0" applyNumberFormat="1"/>
    <xf numFmtId="0" fontId="0" fillId="33" borderId="0" xfId="0" applyFill="1"/>
    <xf numFmtId="6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51FB-9AE2-48D2-AE8B-9951759104AC}">
  <dimension ref="A1:S52"/>
  <sheetViews>
    <sheetView tabSelected="1" workbookViewId="0">
      <selection activeCell="Q18" sqref="Q18"/>
    </sheetView>
  </sheetViews>
  <sheetFormatPr defaultRowHeight="15" x14ac:dyDescent="0.25"/>
  <cols>
    <col min="4" max="4" width="17.28515625" customWidth="1"/>
    <col min="6" max="6" width="16.140625" customWidth="1"/>
    <col min="7" max="7" width="15.42578125" customWidth="1"/>
    <col min="8" max="8" width="15" customWidth="1"/>
    <col min="9" max="9" width="11.7109375" customWidth="1"/>
    <col min="10" max="10" width="17.5703125" customWidth="1"/>
    <col min="11" max="12" width="17.140625" customWidth="1"/>
    <col min="13" max="13" width="16.7109375" customWidth="1"/>
    <col min="14" max="14" width="10.140625" customWidth="1"/>
    <col min="15" max="15" width="11.140625" customWidth="1"/>
    <col min="16" max="16" width="14.85546875" customWidth="1"/>
    <col min="17" max="17" width="14.42578125" customWidth="1"/>
    <col min="18" max="18" width="16.140625" customWidth="1"/>
    <col min="19" max="19" width="1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119</v>
      </c>
      <c r="M1" s="3" t="s">
        <v>11</v>
      </c>
      <c r="N1" t="s">
        <v>12</v>
      </c>
      <c r="O1" t="s">
        <v>13</v>
      </c>
      <c r="P1" t="s">
        <v>14</v>
      </c>
      <c r="Q1" t="s">
        <v>15</v>
      </c>
      <c r="R1" s="3" t="s">
        <v>16</v>
      </c>
      <c r="S1" t="s">
        <v>17</v>
      </c>
    </row>
    <row r="2" spans="1:19" x14ac:dyDescent="0.25">
      <c r="C2">
        <v>48</v>
      </c>
      <c r="D2" t="s">
        <v>115</v>
      </c>
      <c r="E2" s="2">
        <v>2371</v>
      </c>
      <c r="F2" s="1">
        <v>4253085</v>
      </c>
      <c r="G2" s="1">
        <f>((F2-1000000)*0.1)</f>
        <v>325308.5</v>
      </c>
      <c r="H2" s="2">
        <v>158702</v>
      </c>
      <c r="I2" s="2">
        <v>157251</v>
      </c>
      <c r="J2" s="2">
        <v>3500000000</v>
      </c>
      <c r="K2" s="2">
        <v>57142857</v>
      </c>
      <c r="L2" s="1">
        <f>E2*G2</f>
        <v>771306453.5</v>
      </c>
      <c r="M2" s="4">
        <v>-714164782</v>
      </c>
      <c r="N2">
        <v>48</v>
      </c>
      <c r="O2" t="s">
        <v>116</v>
      </c>
      <c r="P2" s="1">
        <v>480800000</v>
      </c>
      <c r="Q2" s="1">
        <v>29000000</v>
      </c>
      <c r="R2" s="4">
        <v>-451800000</v>
      </c>
      <c r="S2" s="1">
        <f>R2-M2</f>
        <v>262364782</v>
      </c>
    </row>
    <row r="3" spans="1:19" x14ac:dyDescent="0.25">
      <c r="C3">
        <v>41</v>
      </c>
      <c r="D3" t="s">
        <v>101</v>
      </c>
      <c r="E3" s="2">
        <v>2660</v>
      </c>
      <c r="F3" s="1">
        <v>2224486</v>
      </c>
      <c r="G3" s="1">
        <f>((F3-1000000)*0.1)</f>
        <v>122448.6</v>
      </c>
      <c r="H3" s="2">
        <v>197777</v>
      </c>
      <c r="I3" s="2">
        <v>157251</v>
      </c>
      <c r="J3" s="2">
        <v>3500000000</v>
      </c>
      <c r="K3" s="2">
        <v>57142857</v>
      </c>
      <c r="L3" s="1">
        <f>E3*G3</f>
        <v>325713276</v>
      </c>
      <c r="M3" s="4">
        <v>-268571483</v>
      </c>
      <c r="N3">
        <v>41</v>
      </c>
      <c r="O3" t="s">
        <v>102</v>
      </c>
      <c r="P3" s="1">
        <v>429000000</v>
      </c>
      <c r="Q3" s="1">
        <v>23200000</v>
      </c>
      <c r="R3" s="4">
        <v>-405800000</v>
      </c>
      <c r="S3" s="1">
        <f>R3-M3</f>
        <v>-137228517</v>
      </c>
    </row>
    <row r="4" spans="1:19" x14ac:dyDescent="0.25">
      <c r="C4">
        <v>43</v>
      </c>
      <c r="D4" t="s">
        <v>105</v>
      </c>
      <c r="E4" s="2">
        <v>1502</v>
      </c>
      <c r="F4" s="1">
        <v>2736421</v>
      </c>
      <c r="G4" s="1">
        <f>((F4-1000000)*0.1)</f>
        <v>173642.1</v>
      </c>
      <c r="H4" s="2">
        <v>126847</v>
      </c>
      <c r="I4" s="2">
        <v>157251</v>
      </c>
      <c r="J4" s="2">
        <v>3500000000</v>
      </c>
      <c r="K4" s="2">
        <v>57142857</v>
      </c>
      <c r="L4" s="1">
        <f>E4*G4</f>
        <v>260810434.20000002</v>
      </c>
      <c r="M4" s="4">
        <v>-203667427</v>
      </c>
      <c r="N4">
        <v>43</v>
      </c>
      <c r="O4" t="s">
        <v>106</v>
      </c>
      <c r="P4" s="1">
        <v>310700000</v>
      </c>
      <c r="Q4" s="1">
        <v>40600000</v>
      </c>
      <c r="R4" s="4">
        <v>-270100000</v>
      </c>
      <c r="S4" s="1">
        <f>R4-M4</f>
        <v>-66432573</v>
      </c>
    </row>
    <row r="5" spans="1:19" x14ac:dyDescent="0.25">
      <c r="C5">
        <v>45</v>
      </c>
      <c r="D5" t="s">
        <v>109</v>
      </c>
      <c r="E5" s="2">
        <v>2004</v>
      </c>
      <c r="F5" s="1">
        <v>2002629</v>
      </c>
      <c r="G5" s="1">
        <f>((F5-1000000)*0.1)</f>
        <v>100262.90000000001</v>
      </c>
      <c r="H5" s="2">
        <v>180159</v>
      </c>
      <c r="I5" s="2">
        <v>157251</v>
      </c>
      <c r="J5" s="2">
        <v>3500000000</v>
      </c>
      <c r="K5" s="2">
        <v>57142857</v>
      </c>
      <c r="L5" s="1">
        <f>E5*G5</f>
        <v>200926851.60000002</v>
      </c>
      <c r="M5" s="4">
        <v>-143784195</v>
      </c>
      <c r="N5">
        <v>45</v>
      </c>
      <c r="O5" t="s">
        <v>110</v>
      </c>
      <c r="P5" s="1">
        <v>355000000</v>
      </c>
      <c r="Q5" s="1">
        <v>29000000</v>
      </c>
      <c r="R5" s="4">
        <v>-326000000</v>
      </c>
      <c r="S5" s="1">
        <f>R5-M5</f>
        <v>-182215805</v>
      </c>
    </row>
    <row r="6" spans="1:19" x14ac:dyDescent="0.25">
      <c r="C6">
        <v>36</v>
      </c>
      <c r="D6" t="s">
        <v>91</v>
      </c>
      <c r="E6" s="2">
        <v>1260</v>
      </c>
      <c r="F6" s="1">
        <v>1861920</v>
      </c>
      <c r="G6" s="1">
        <f>((F6-1000000)*0.1)</f>
        <v>86192</v>
      </c>
      <c r="H6" s="2">
        <v>140788</v>
      </c>
      <c r="I6" s="2">
        <v>157251</v>
      </c>
      <c r="J6" s="2">
        <v>3500000000</v>
      </c>
      <c r="K6" s="2">
        <v>57142857</v>
      </c>
      <c r="L6" s="1">
        <f>E6*G6</f>
        <v>108601920</v>
      </c>
      <c r="M6" s="4">
        <v>-51459063</v>
      </c>
      <c r="N6">
        <v>36</v>
      </c>
      <c r="O6" t="s">
        <v>92</v>
      </c>
      <c r="P6" s="1">
        <v>266300000</v>
      </c>
      <c r="Q6" s="1">
        <v>34800000</v>
      </c>
      <c r="R6" s="4">
        <v>-231500000</v>
      </c>
      <c r="S6" s="1">
        <f>R6-M6</f>
        <v>-180040937</v>
      </c>
    </row>
    <row r="7" spans="1:19" x14ac:dyDescent="0.25">
      <c r="C7">
        <v>46</v>
      </c>
      <c r="D7" t="s">
        <v>111</v>
      </c>
      <c r="E7">
        <v>788</v>
      </c>
      <c r="F7" s="1">
        <v>1948472</v>
      </c>
      <c r="G7" s="1">
        <f>((F7-1000000)*0.1)</f>
        <v>94847.200000000012</v>
      </c>
      <c r="H7" s="2">
        <v>120264</v>
      </c>
      <c r="I7" s="2">
        <v>157251</v>
      </c>
      <c r="J7" s="2">
        <v>3500000000</v>
      </c>
      <c r="K7" s="2">
        <v>57142857</v>
      </c>
      <c r="L7" s="1">
        <f>E7*G7</f>
        <v>74739593.600000009</v>
      </c>
      <c r="M7" s="4">
        <v>-17596579</v>
      </c>
      <c r="N7">
        <v>46</v>
      </c>
      <c r="O7" t="s">
        <v>112</v>
      </c>
      <c r="P7" s="1">
        <v>177500000</v>
      </c>
      <c r="Q7" s="1">
        <v>34800000</v>
      </c>
      <c r="R7" s="4">
        <v>-142700000</v>
      </c>
      <c r="S7" s="1">
        <f>R7-M7</f>
        <v>-125103421</v>
      </c>
    </row>
    <row r="8" spans="1:19" x14ac:dyDescent="0.25">
      <c r="C8">
        <v>1</v>
      </c>
      <c r="D8" t="s">
        <v>18</v>
      </c>
      <c r="E8">
        <v>576</v>
      </c>
      <c r="F8" s="1">
        <v>2248390</v>
      </c>
      <c r="G8" s="1">
        <f>((F8-1000000)*0.1)</f>
        <v>124839</v>
      </c>
      <c r="H8" s="2">
        <v>149329</v>
      </c>
      <c r="I8" s="2">
        <v>157251</v>
      </c>
      <c r="J8" s="2">
        <v>3500000000</v>
      </c>
      <c r="K8" s="2">
        <v>57142857</v>
      </c>
      <c r="L8" s="1">
        <f>E8*G8</f>
        <v>71907264</v>
      </c>
      <c r="M8" s="4">
        <v>-14764407</v>
      </c>
      <c r="N8">
        <v>1</v>
      </c>
      <c r="O8" t="s">
        <v>19</v>
      </c>
      <c r="P8" s="1">
        <v>81400000</v>
      </c>
      <c r="Q8" s="1">
        <v>46400000</v>
      </c>
      <c r="R8" s="4">
        <v>-35000000</v>
      </c>
      <c r="S8" s="1">
        <f>R8-M8</f>
        <v>-20235593</v>
      </c>
    </row>
    <row r="9" spans="1:19" x14ac:dyDescent="0.25">
      <c r="C9">
        <v>5</v>
      </c>
      <c r="D9" t="s">
        <v>26</v>
      </c>
      <c r="E9">
        <v>692</v>
      </c>
      <c r="F9" s="1">
        <v>1941904</v>
      </c>
      <c r="G9" s="1">
        <f>((F9-1000000)*0.1)</f>
        <v>94190.400000000009</v>
      </c>
      <c r="H9" s="2">
        <v>149321</v>
      </c>
      <c r="I9" s="2">
        <v>157251</v>
      </c>
      <c r="J9" s="2">
        <v>3500000000</v>
      </c>
      <c r="K9" s="2">
        <v>57142857</v>
      </c>
      <c r="L9" s="1">
        <f>E9*G9</f>
        <v>65179756.800000004</v>
      </c>
      <c r="M9" s="4">
        <v>-8036623</v>
      </c>
      <c r="N9">
        <v>5</v>
      </c>
      <c r="O9" t="s">
        <v>27</v>
      </c>
      <c r="P9" s="1">
        <v>236700000</v>
      </c>
      <c r="Q9" s="1">
        <v>29000000</v>
      </c>
      <c r="R9" s="4">
        <v>-207700000</v>
      </c>
      <c r="S9" s="1">
        <f>R9-M9</f>
        <v>-199663377</v>
      </c>
    </row>
    <row r="10" spans="1:19" x14ac:dyDescent="0.25">
      <c r="C10">
        <v>17</v>
      </c>
      <c r="D10" t="s">
        <v>53</v>
      </c>
      <c r="E10">
        <v>383</v>
      </c>
      <c r="F10" s="1">
        <v>2495905</v>
      </c>
      <c r="G10" s="1">
        <f>((F10-1000000)*0.1)</f>
        <v>149590.5</v>
      </c>
      <c r="H10" s="2">
        <v>101566</v>
      </c>
      <c r="I10" s="2">
        <v>157251</v>
      </c>
      <c r="J10" s="2">
        <v>3500000000</v>
      </c>
      <c r="K10" s="2">
        <v>57142857</v>
      </c>
      <c r="L10" s="1">
        <f>E10*G10</f>
        <v>57293161.5</v>
      </c>
      <c r="M10" s="4">
        <v>-150113</v>
      </c>
      <c r="N10">
        <v>17</v>
      </c>
      <c r="O10" t="s">
        <v>54</v>
      </c>
      <c r="P10" s="1">
        <v>40700000</v>
      </c>
      <c r="Q10" s="1">
        <v>52200000</v>
      </c>
      <c r="R10" s="4">
        <v>11500000</v>
      </c>
      <c r="S10" s="1">
        <f>R10-M10</f>
        <v>11650113</v>
      </c>
    </row>
    <row r="11" spans="1:19" x14ac:dyDescent="0.25">
      <c r="C11">
        <v>34</v>
      </c>
      <c r="D11" t="s">
        <v>87</v>
      </c>
      <c r="E11">
        <v>430</v>
      </c>
      <c r="F11" s="1">
        <v>2260396</v>
      </c>
      <c r="G11" s="1">
        <f>((F11-1000000)*0.1)</f>
        <v>126039.6</v>
      </c>
      <c r="H11" s="2">
        <v>119342</v>
      </c>
      <c r="I11" s="2">
        <v>157251</v>
      </c>
      <c r="J11" s="2">
        <v>3500000000</v>
      </c>
      <c r="K11" s="2">
        <v>57142857</v>
      </c>
      <c r="L11" s="1">
        <f>E11*G11</f>
        <v>54197028</v>
      </c>
      <c r="M11" s="4">
        <v>2945657</v>
      </c>
      <c r="N11">
        <v>34</v>
      </c>
      <c r="O11" t="s">
        <v>88</v>
      </c>
      <c r="P11" s="1">
        <v>133100000</v>
      </c>
      <c r="Q11" s="1">
        <v>40600000</v>
      </c>
      <c r="R11" s="4">
        <v>-92500000</v>
      </c>
      <c r="S11" s="1">
        <f>R11-M11</f>
        <v>-95445657</v>
      </c>
    </row>
    <row r="12" spans="1:19" x14ac:dyDescent="0.25">
      <c r="A12" t="s">
        <v>38</v>
      </c>
      <c r="B12" s="1">
        <v>2254546</v>
      </c>
      <c r="C12">
        <v>23</v>
      </c>
      <c r="D12" t="s">
        <v>65</v>
      </c>
      <c r="E12">
        <v>346</v>
      </c>
      <c r="F12" s="1">
        <v>2398803</v>
      </c>
      <c r="G12" s="1">
        <f>((F12-1000000)*0.1)</f>
        <v>139880.30000000002</v>
      </c>
      <c r="H12" s="2">
        <v>106138</v>
      </c>
      <c r="I12" s="2">
        <v>157251</v>
      </c>
      <c r="J12" s="2">
        <v>3500000000</v>
      </c>
      <c r="K12" s="2">
        <v>57142857</v>
      </c>
      <c r="L12" s="1">
        <f>E12*G12</f>
        <v>48398583.800000004</v>
      </c>
      <c r="M12" s="4">
        <v>8744377</v>
      </c>
      <c r="N12">
        <v>23</v>
      </c>
      <c r="O12" t="s">
        <v>66</v>
      </c>
      <c r="P12" s="1">
        <v>33300000</v>
      </c>
      <c r="Q12" s="1">
        <v>46400000</v>
      </c>
      <c r="R12" s="4">
        <v>13100000</v>
      </c>
      <c r="S12" s="1">
        <f>R12-M12</f>
        <v>4355623</v>
      </c>
    </row>
    <row r="13" spans="1:19" x14ac:dyDescent="0.25">
      <c r="A13" t="s">
        <v>41</v>
      </c>
      <c r="B13" s="1">
        <v>125455</v>
      </c>
      <c r="C13">
        <v>32</v>
      </c>
      <c r="D13" t="s">
        <v>83</v>
      </c>
      <c r="E13">
        <v>289</v>
      </c>
      <c r="F13" s="1">
        <v>2582842</v>
      </c>
      <c r="G13" s="1">
        <f>((F13-1000000)*0.1)</f>
        <v>158284.20000000001</v>
      </c>
      <c r="H13" s="2">
        <v>100850</v>
      </c>
      <c r="I13" s="2">
        <v>157251</v>
      </c>
      <c r="J13" s="2">
        <v>3500000000</v>
      </c>
      <c r="K13" s="2">
        <v>57142857</v>
      </c>
      <c r="L13" s="1">
        <f>E13*G13</f>
        <v>45744133.800000004</v>
      </c>
      <c r="M13" s="4">
        <v>11398781</v>
      </c>
      <c r="N13">
        <v>32</v>
      </c>
      <c r="O13" t="s">
        <v>84</v>
      </c>
      <c r="P13" s="1">
        <v>44400000</v>
      </c>
      <c r="Q13" s="1">
        <v>52200000</v>
      </c>
      <c r="R13" s="4">
        <v>7800000</v>
      </c>
      <c r="S13" s="1">
        <f>R13-M13</f>
        <v>-3598781</v>
      </c>
    </row>
    <row r="14" spans="1:19" x14ac:dyDescent="0.25">
      <c r="C14">
        <v>37</v>
      </c>
      <c r="D14" t="s">
        <v>93</v>
      </c>
      <c r="E14">
        <v>498</v>
      </c>
      <c r="F14" s="1">
        <v>1891798</v>
      </c>
      <c r="G14" s="1">
        <f>((F14-1000000)*0.1)</f>
        <v>89179.8</v>
      </c>
      <c r="H14" s="2">
        <v>100083</v>
      </c>
      <c r="I14" s="2">
        <v>157251</v>
      </c>
      <c r="J14" s="2">
        <v>3500000000</v>
      </c>
      <c r="K14" s="2">
        <v>57142857</v>
      </c>
      <c r="L14" s="1">
        <f>E14*G14</f>
        <v>44411540.399999999</v>
      </c>
      <c r="M14" s="4">
        <v>12731217</v>
      </c>
      <c r="N14">
        <v>37</v>
      </c>
      <c r="O14" t="s">
        <v>94</v>
      </c>
      <c r="P14" s="1">
        <v>96200000</v>
      </c>
      <c r="Q14" s="1">
        <v>63700000</v>
      </c>
      <c r="R14" s="4">
        <v>-32500000</v>
      </c>
      <c r="S14" s="1">
        <f>R14-M14</f>
        <v>-45231217</v>
      </c>
    </row>
    <row r="15" spans="1:19" x14ac:dyDescent="0.25">
      <c r="A15" t="s">
        <v>46</v>
      </c>
      <c r="B15" s="1">
        <v>71428571</v>
      </c>
      <c r="C15">
        <v>40</v>
      </c>
      <c r="D15" t="s">
        <v>99</v>
      </c>
      <c r="E15">
        <v>273</v>
      </c>
      <c r="F15" s="1">
        <v>2479751</v>
      </c>
      <c r="G15" s="1">
        <f>((F15-1000000)*0.1)</f>
        <v>147975.1</v>
      </c>
      <c r="H15" s="2">
        <v>86990</v>
      </c>
      <c r="I15" s="2">
        <v>157251</v>
      </c>
      <c r="J15" s="2">
        <v>3500000000</v>
      </c>
      <c r="K15" s="2">
        <v>57142857</v>
      </c>
      <c r="L15" s="1">
        <f>E15*G15</f>
        <v>40397202.300000004</v>
      </c>
      <c r="M15" s="4">
        <v>16745682</v>
      </c>
      <c r="N15">
        <v>40</v>
      </c>
      <c r="O15" t="s">
        <v>100</v>
      </c>
      <c r="P15" s="1">
        <v>22200000</v>
      </c>
      <c r="Q15" s="1">
        <v>52200000</v>
      </c>
      <c r="R15" s="4">
        <v>30000000</v>
      </c>
      <c r="S15" s="1">
        <f>R15-M15</f>
        <v>13254318</v>
      </c>
    </row>
    <row r="16" spans="1:19" x14ac:dyDescent="0.25">
      <c r="C16">
        <v>49</v>
      </c>
      <c r="D16" t="s">
        <v>117</v>
      </c>
      <c r="E16">
        <v>192</v>
      </c>
      <c r="F16" s="1">
        <v>3018896</v>
      </c>
      <c r="G16" s="1">
        <f>((F16-1000000)*0.1)</f>
        <v>201889.6</v>
      </c>
      <c r="H16" s="2">
        <v>81089</v>
      </c>
      <c r="I16" s="2">
        <v>157251</v>
      </c>
      <c r="J16" s="2">
        <v>3500000000</v>
      </c>
      <c r="K16" s="2">
        <v>57142857</v>
      </c>
      <c r="L16" s="1">
        <f>E16*G16</f>
        <v>38762803.200000003</v>
      </c>
      <c r="M16" s="4">
        <v>18379977</v>
      </c>
      <c r="N16">
        <v>49</v>
      </c>
      <c r="O16" t="s">
        <v>118</v>
      </c>
      <c r="P16" s="1">
        <v>33300000</v>
      </c>
      <c r="Q16" s="1">
        <v>58000000</v>
      </c>
      <c r="R16" s="4">
        <v>24700000</v>
      </c>
      <c r="S16" s="1">
        <f>R16-M16</f>
        <v>6320023</v>
      </c>
    </row>
    <row r="17" spans="3:19" x14ac:dyDescent="0.25">
      <c r="C17">
        <v>20</v>
      </c>
      <c r="D17" t="s">
        <v>59</v>
      </c>
      <c r="E17">
        <v>206</v>
      </c>
      <c r="F17" s="1">
        <v>2724764</v>
      </c>
      <c r="G17" s="1">
        <f>((F17-1000000)*0.1)</f>
        <v>172476.40000000002</v>
      </c>
      <c r="H17" s="2">
        <v>90896</v>
      </c>
      <c r="I17" s="2">
        <v>157251</v>
      </c>
      <c r="J17" s="2">
        <v>3500000000</v>
      </c>
      <c r="K17" s="2">
        <v>57142857</v>
      </c>
      <c r="L17" s="1">
        <f>E17*G17</f>
        <v>35530138.400000006</v>
      </c>
      <c r="M17" s="4">
        <v>21612801</v>
      </c>
      <c r="N17">
        <v>20</v>
      </c>
      <c r="O17" t="s">
        <v>60</v>
      </c>
      <c r="P17" s="1">
        <v>11100000</v>
      </c>
      <c r="Q17" s="1">
        <v>81100000</v>
      </c>
      <c r="R17" s="4">
        <v>70000000</v>
      </c>
      <c r="S17" s="1">
        <f>R17-M17</f>
        <v>48387199</v>
      </c>
    </row>
    <row r="18" spans="3:19" x14ac:dyDescent="0.25">
      <c r="C18">
        <v>31</v>
      </c>
      <c r="D18" t="s">
        <v>81</v>
      </c>
      <c r="E18">
        <v>177</v>
      </c>
      <c r="F18" s="1">
        <v>2752776</v>
      </c>
      <c r="G18" s="1">
        <f>((F18-1000000)*0.1)</f>
        <v>175277.6</v>
      </c>
      <c r="H18" s="2">
        <v>122456</v>
      </c>
      <c r="I18" s="2">
        <v>157251</v>
      </c>
      <c r="J18" s="2">
        <v>3500000000</v>
      </c>
      <c r="K18" s="2">
        <v>57142857</v>
      </c>
      <c r="L18" s="1">
        <f>E18*G18</f>
        <v>31024135.199999999</v>
      </c>
      <c r="M18" s="4">
        <v>26118651</v>
      </c>
      <c r="N18">
        <v>31</v>
      </c>
      <c r="O18" t="s">
        <v>82</v>
      </c>
      <c r="P18" s="1">
        <v>22200000</v>
      </c>
      <c r="Q18" s="1">
        <v>58000000</v>
      </c>
      <c r="R18" s="4">
        <v>35800000</v>
      </c>
      <c r="S18" s="1">
        <f>R18-M18</f>
        <v>9681349</v>
      </c>
    </row>
    <row r="19" spans="3:19" x14ac:dyDescent="0.25">
      <c r="C19">
        <v>8</v>
      </c>
      <c r="D19" t="s">
        <v>32</v>
      </c>
      <c r="E19">
        <v>195</v>
      </c>
      <c r="F19" s="1">
        <v>2493558</v>
      </c>
      <c r="G19" s="1">
        <f>((F19-1000000)*0.1)</f>
        <v>149355.80000000002</v>
      </c>
      <c r="H19" s="2">
        <v>92506</v>
      </c>
      <c r="I19" s="2">
        <v>157251</v>
      </c>
      <c r="J19" s="2">
        <v>3500000000</v>
      </c>
      <c r="K19" s="2">
        <v>57142857</v>
      </c>
      <c r="L19" s="1">
        <f>E19*G19</f>
        <v>29124381.000000004</v>
      </c>
      <c r="M19" s="4">
        <v>28018437</v>
      </c>
      <c r="N19">
        <v>8</v>
      </c>
      <c r="O19" t="s">
        <v>33</v>
      </c>
      <c r="P19" s="1">
        <v>25900000</v>
      </c>
      <c r="Q19" s="1">
        <v>133300000</v>
      </c>
      <c r="R19" s="4">
        <v>107400000</v>
      </c>
      <c r="S19" s="1">
        <f>R19-M19</f>
        <v>79381563</v>
      </c>
    </row>
    <row r="20" spans="3:19" x14ac:dyDescent="0.25">
      <c r="C20">
        <v>15</v>
      </c>
      <c r="D20" t="s">
        <v>49</v>
      </c>
      <c r="E20">
        <v>167</v>
      </c>
      <c r="F20" s="1">
        <v>2721976</v>
      </c>
      <c r="G20" s="1">
        <f>((F20-1000000)*0.1)</f>
        <v>172197.6</v>
      </c>
      <c r="H20" s="2">
        <v>80764</v>
      </c>
      <c r="I20" s="2">
        <v>157251</v>
      </c>
      <c r="J20" s="2">
        <v>3500000000</v>
      </c>
      <c r="K20" s="2">
        <v>57142857</v>
      </c>
      <c r="L20" s="1">
        <f>E20*G20</f>
        <v>28756999.199999999</v>
      </c>
      <c r="M20" s="4">
        <v>28385791</v>
      </c>
      <c r="N20">
        <v>15</v>
      </c>
      <c r="O20" t="s">
        <v>50</v>
      </c>
      <c r="P20" s="1">
        <v>14800000</v>
      </c>
      <c r="Q20" s="1">
        <v>150700000</v>
      </c>
      <c r="R20" s="4">
        <v>135900000</v>
      </c>
      <c r="S20" s="1">
        <f>R20-M20</f>
        <v>107514209</v>
      </c>
    </row>
    <row r="21" spans="3:19" x14ac:dyDescent="0.25">
      <c r="C21">
        <v>9</v>
      </c>
      <c r="D21" t="s">
        <v>34</v>
      </c>
      <c r="E21">
        <v>223</v>
      </c>
      <c r="F21" s="1">
        <v>2253475</v>
      </c>
      <c r="G21" s="1">
        <f>((F21-1000000)*0.1)</f>
        <v>125347.5</v>
      </c>
      <c r="H21" s="2">
        <v>76475</v>
      </c>
      <c r="I21" s="2">
        <v>157251</v>
      </c>
      <c r="J21" s="2">
        <v>3500000000</v>
      </c>
      <c r="K21" s="2">
        <v>57142857</v>
      </c>
      <c r="L21" s="1">
        <f>E21*G21</f>
        <v>27952492.5</v>
      </c>
      <c r="M21" s="4">
        <v>29190476</v>
      </c>
      <c r="N21">
        <v>9</v>
      </c>
      <c r="O21" t="s">
        <v>35</v>
      </c>
      <c r="P21" s="1">
        <v>11100000</v>
      </c>
      <c r="Q21" s="1">
        <v>98500000</v>
      </c>
      <c r="R21" s="4">
        <v>87400000</v>
      </c>
      <c r="S21" s="1">
        <f>R21-M21</f>
        <v>58209524</v>
      </c>
    </row>
    <row r="22" spans="3:19" x14ac:dyDescent="0.25">
      <c r="C22">
        <v>27</v>
      </c>
      <c r="D22" t="s">
        <v>73</v>
      </c>
      <c r="E22">
        <v>209</v>
      </c>
      <c r="F22" s="1">
        <v>2308612</v>
      </c>
      <c r="G22" s="1">
        <f>((F22-1000000)*0.1)</f>
        <v>130861.20000000001</v>
      </c>
      <c r="H22" s="2">
        <v>89592</v>
      </c>
      <c r="I22" s="2">
        <v>157251</v>
      </c>
      <c r="J22" s="2">
        <v>3500000000</v>
      </c>
      <c r="K22" s="2">
        <v>57142857</v>
      </c>
      <c r="L22" s="1">
        <f>E22*G22</f>
        <v>27349990.800000001</v>
      </c>
      <c r="M22" s="4">
        <v>29792908</v>
      </c>
      <c r="N22">
        <v>27</v>
      </c>
      <c r="O22" t="s">
        <v>74</v>
      </c>
      <c r="P22" s="1">
        <v>29600000</v>
      </c>
      <c r="Q22" s="1">
        <v>63700000</v>
      </c>
      <c r="R22" s="4">
        <v>34100000</v>
      </c>
      <c r="S22" s="1">
        <f>R22-M22</f>
        <v>4307092</v>
      </c>
    </row>
    <row r="23" spans="3:19" x14ac:dyDescent="0.25">
      <c r="C23">
        <v>12</v>
      </c>
      <c r="D23" t="s">
        <v>42</v>
      </c>
      <c r="E23">
        <v>358</v>
      </c>
      <c r="F23" s="1">
        <v>1748820</v>
      </c>
      <c r="G23" s="1">
        <f>((F23-1000000)*0.1)</f>
        <v>74882</v>
      </c>
      <c r="H23" s="2">
        <v>106724</v>
      </c>
      <c r="I23" s="2">
        <v>157251</v>
      </c>
      <c r="J23" s="2">
        <v>3500000000</v>
      </c>
      <c r="K23" s="2">
        <v>57142857</v>
      </c>
      <c r="L23" s="1">
        <f>E23*G23</f>
        <v>26807756</v>
      </c>
      <c r="M23" s="4">
        <v>30335101</v>
      </c>
      <c r="N23">
        <v>12</v>
      </c>
      <c r="O23" t="s">
        <v>43</v>
      </c>
      <c r="P23" s="1">
        <v>14800000</v>
      </c>
      <c r="Q23" s="1">
        <v>98500000</v>
      </c>
      <c r="R23" s="4">
        <v>83700000</v>
      </c>
      <c r="S23" s="1">
        <f>R23-M23</f>
        <v>53364899</v>
      </c>
    </row>
    <row r="24" spans="3:19" x14ac:dyDescent="0.25">
      <c r="C24">
        <v>26</v>
      </c>
      <c r="D24" t="s">
        <v>71</v>
      </c>
      <c r="E24">
        <v>326</v>
      </c>
      <c r="F24" s="1">
        <v>1814359</v>
      </c>
      <c r="G24" s="1">
        <f>((F24-1000000)*0.1)</f>
        <v>81435.900000000009</v>
      </c>
      <c r="H24" s="2">
        <v>106336</v>
      </c>
      <c r="I24" s="2">
        <v>157251</v>
      </c>
      <c r="J24" s="2">
        <v>3500000000</v>
      </c>
      <c r="K24" s="2">
        <v>57142857</v>
      </c>
      <c r="L24" s="1">
        <f>E24*G24</f>
        <v>26548103.400000002</v>
      </c>
      <c r="M24" s="4">
        <v>30594721</v>
      </c>
      <c r="N24">
        <v>26</v>
      </c>
      <c r="O24" t="s">
        <v>72</v>
      </c>
      <c r="P24" s="1">
        <v>33300000</v>
      </c>
      <c r="Q24" s="1">
        <v>46400000</v>
      </c>
      <c r="R24" s="4">
        <v>13100000</v>
      </c>
      <c r="S24" s="1">
        <f>R24-M24</f>
        <v>-17494721</v>
      </c>
    </row>
    <row r="25" spans="3:19" x14ac:dyDescent="0.25">
      <c r="C25">
        <v>21</v>
      </c>
      <c r="D25" t="s">
        <v>61</v>
      </c>
      <c r="E25">
        <v>259</v>
      </c>
      <c r="F25" s="1">
        <v>2014876</v>
      </c>
      <c r="G25" s="1">
        <f>((F25-1000000)*0.1)</f>
        <v>101487.6</v>
      </c>
      <c r="H25" s="2">
        <v>106028</v>
      </c>
      <c r="I25" s="2">
        <v>157251</v>
      </c>
      <c r="J25" s="2">
        <v>3500000000</v>
      </c>
      <c r="K25" s="2">
        <v>57142857</v>
      </c>
      <c r="L25" s="1">
        <f>E25*G25</f>
        <v>26285288.400000002</v>
      </c>
      <c r="M25" s="4">
        <v>30857465</v>
      </c>
      <c r="N25">
        <v>21</v>
      </c>
      <c r="O25" t="s">
        <v>62</v>
      </c>
      <c r="P25" s="1">
        <v>55500000</v>
      </c>
      <c r="Q25" s="1">
        <v>52200000</v>
      </c>
      <c r="R25" s="4">
        <v>-3300000</v>
      </c>
      <c r="S25" s="1">
        <f>R25-M25</f>
        <v>-34157465</v>
      </c>
    </row>
    <row r="26" spans="3:19" x14ac:dyDescent="0.25">
      <c r="C26">
        <v>42</v>
      </c>
      <c r="D26" t="s">
        <v>103</v>
      </c>
      <c r="E26">
        <v>168</v>
      </c>
      <c r="F26" s="1">
        <v>2563118</v>
      </c>
      <c r="G26" s="1">
        <f>((F26-1000000)*0.1)</f>
        <v>156311.80000000002</v>
      </c>
      <c r="H26" s="2">
        <v>79503</v>
      </c>
      <c r="I26" s="2">
        <v>157251</v>
      </c>
      <c r="J26" s="2">
        <v>3500000000</v>
      </c>
      <c r="K26" s="2">
        <v>57142857</v>
      </c>
      <c r="L26" s="1">
        <f>E26*G26</f>
        <v>26260382.400000002</v>
      </c>
      <c r="M26" s="4">
        <v>30882441</v>
      </c>
      <c r="N26">
        <v>42</v>
      </c>
      <c r="O26" t="s">
        <v>104</v>
      </c>
      <c r="P26" s="1">
        <v>25900000</v>
      </c>
      <c r="Q26" s="1">
        <v>63700000</v>
      </c>
      <c r="R26" s="4">
        <v>37800000</v>
      </c>
      <c r="S26" s="1">
        <f>R26-M26</f>
        <v>6917559</v>
      </c>
    </row>
    <row r="27" spans="3:19" x14ac:dyDescent="0.25">
      <c r="C27">
        <v>10</v>
      </c>
      <c r="D27" t="s">
        <v>36</v>
      </c>
      <c r="E27">
        <v>165</v>
      </c>
      <c r="F27" s="1">
        <v>2389044</v>
      </c>
      <c r="G27" s="1">
        <f>((F27-1000000)*0.1)</f>
        <v>138904.4</v>
      </c>
      <c r="H27" s="2">
        <v>92852</v>
      </c>
      <c r="I27" s="2">
        <v>157251</v>
      </c>
      <c r="J27" s="2">
        <v>3500000000</v>
      </c>
      <c r="K27" s="2">
        <v>57142857</v>
      </c>
      <c r="L27" s="1">
        <f>E27*G27</f>
        <v>22919226</v>
      </c>
      <c r="M27" s="4">
        <v>34223697</v>
      </c>
      <c r="N27">
        <v>10</v>
      </c>
      <c r="O27" t="s">
        <v>37</v>
      </c>
      <c r="P27" s="1">
        <v>18500000</v>
      </c>
      <c r="Q27" s="1">
        <v>46400000</v>
      </c>
      <c r="R27" s="4">
        <v>27900000</v>
      </c>
      <c r="S27" s="1">
        <f>R27-M27</f>
        <v>-6323697</v>
      </c>
    </row>
    <row r="28" spans="3:19" x14ac:dyDescent="0.25">
      <c r="C28">
        <v>3</v>
      </c>
      <c r="D28" t="s">
        <v>22</v>
      </c>
      <c r="E28">
        <v>211</v>
      </c>
      <c r="F28" s="1">
        <v>2069929</v>
      </c>
      <c r="G28" s="1">
        <f>((F28-1000000)*0.1)</f>
        <v>106992.90000000001</v>
      </c>
      <c r="H28" s="2">
        <v>71749</v>
      </c>
      <c r="I28" s="2">
        <v>157251</v>
      </c>
      <c r="J28" s="2">
        <v>3500000000</v>
      </c>
      <c r="K28" s="2">
        <v>57142857</v>
      </c>
      <c r="L28" s="1">
        <f>E28*G28</f>
        <v>22575501.900000002</v>
      </c>
      <c r="M28" s="4">
        <v>34567334</v>
      </c>
      <c r="N28">
        <v>3</v>
      </c>
      <c r="O28" t="s">
        <v>23</v>
      </c>
      <c r="P28" s="1">
        <v>22200000</v>
      </c>
      <c r="Q28" s="1">
        <v>139100000</v>
      </c>
      <c r="R28" s="4">
        <v>116900000</v>
      </c>
      <c r="S28" s="1">
        <f>R28-M28</f>
        <v>82332666</v>
      </c>
    </row>
    <row r="29" spans="3:19" x14ac:dyDescent="0.25">
      <c r="C29">
        <v>44</v>
      </c>
      <c r="D29" t="s">
        <v>107</v>
      </c>
      <c r="E29">
        <v>319</v>
      </c>
      <c r="F29" s="1">
        <v>1680023</v>
      </c>
      <c r="G29" s="1">
        <f>((F29-1000000)*0.1)</f>
        <v>68002.3</v>
      </c>
      <c r="H29" s="2">
        <v>146377</v>
      </c>
      <c r="I29" s="2">
        <v>157251</v>
      </c>
      <c r="J29" s="2">
        <v>3500000000</v>
      </c>
      <c r="K29" s="2">
        <v>57142857</v>
      </c>
      <c r="L29" s="1">
        <f>E29*G29</f>
        <v>21692733.699999999</v>
      </c>
      <c r="M29" s="4">
        <v>35450219</v>
      </c>
      <c r="N29">
        <v>44</v>
      </c>
      <c r="O29" t="s">
        <v>108</v>
      </c>
      <c r="P29" s="1">
        <v>62900000</v>
      </c>
      <c r="Q29" s="1">
        <v>46400000</v>
      </c>
      <c r="R29" s="4">
        <v>-16500000</v>
      </c>
      <c r="S29" s="1">
        <f>R29-M29</f>
        <v>-51950219</v>
      </c>
    </row>
    <row r="30" spans="3:19" x14ac:dyDescent="0.25">
      <c r="C30">
        <v>4</v>
      </c>
      <c r="D30" t="s">
        <v>24</v>
      </c>
      <c r="E30">
        <v>142</v>
      </c>
      <c r="F30" s="1">
        <v>2370917</v>
      </c>
      <c r="G30" s="1">
        <f>((F30-1000000)*0.1)</f>
        <v>137091.70000000001</v>
      </c>
      <c r="H30" s="2">
        <v>81659</v>
      </c>
      <c r="I30" s="2">
        <v>157251</v>
      </c>
      <c r="J30" s="2">
        <v>3500000000</v>
      </c>
      <c r="K30" s="2">
        <v>57142857</v>
      </c>
      <c r="L30" s="1">
        <f>E30*G30</f>
        <v>19467021.400000002</v>
      </c>
      <c r="M30" s="4">
        <v>37675793</v>
      </c>
      <c r="N30">
        <v>4</v>
      </c>
      <c r="O30" t="s">
        <v>25</v>
      </c>
      <c r="P30" s="1">
        <v>18500000</v>
      </c>
      <c r="Q30" s="1">
        <v>98500000</v>
      </c>
      <c r="R30" s="4">
        <v>80000000</v>
      </c>
      <c r="S30" s="1">
        <f>R30-M30</f>
        <v>42324207</v>
      </c>
    </row>
    <row r="31" spans="3:19" x14ac:dyDescent="0.25">
      <c r="C31">
        <v>18</v>
      </c>
      <c r="D31" t="s">
        <v>55</v>
      </c>
      <c r="E31">
        <v>188</v>
      </c>
      <c r="F31" s="1">
        <v>1967078</v>
      </c>
      <c r="G31" s="1">
        <f>((F31-1000000)*0.1)</f>
        <v>96707.8</v>
      </c>
      <c r="H31" s="2">
        <v>106750</v>
      </c>
      <c r="I31" s="2">
        <v>157251</v>
      </c>
      <c r="J31" s="2">
        <v>3500000000</v>
      </c>
      <c r="K31" s="2">
        <v>57142857</v>
      </c>
      <c r="L31" s="1">
        <f>E31*G31</f>
        <v>18181066.400000002</v>
      </c>
      <c r="M31" s="4">
        <v>38961753</v>
      </c>
      <c r="N31">
        <v>18</v>
      </c>
      <c r="O31" t="s">
        <v>56</v>
      </c>
      <c r="P31" s="1">
        <v>51800000</v>
      </c>
      <c r="Q31" s="1">
        <v>46400000</v>
      </c>
      <c r="R31" s="4">
        <v>-5400000</v>
      </c>
      <c r="S31" s="1">
        <f>R31-M31</f>
        <v>-44361753</v>
      </c>
    </row>
    <row r="32" spans="3:19" x14ac:dyDescent="0.25">
      <c r="C32">
        <v>22</v>
      </c>
      <c r="D32" t="s">
        <v>63</v>
      </c>
      <c r="E32">
        <v>167</v>
      </c>
      <c r="F32" s="1">
        <v>2021887</v>
      </c>
      <c r="G32" s="1">
        <f>((F32-1000000)*0.1)</f>
        <v>102188.70000000001</v>
      </c>
      <c r="H32" s="2">
        <v>92436</v>
      </c>
      <c r="I32" s="2">
        <v>157251</v>
      </c>
      <c r="J32" s="2">
        <v>3500000000</v>
      </c>
      <c r="K32" s="2">
        <v>57142857</v>
      </c>
      <c r="L32" s="1">
        <f>E32*G32</f>
        <v>17065512.900000002</v>
      </c>
      <c r="M32" s="4">
        <v>40077294</v>
      </c>
      <c r="N32">
        <v>22</v>
      </c>
      <c r="O32" t="s">
        <v>64</v>
      </c>
      <c r="P32" s="1">
        <v>22200000</v>
      </c>
      <c r="Q32" s="1">
        <v>75300000</v>
      </c>
      <c r="R32" s="4">
        <v>53100000</v>
      </c>
      <c r="S32" s="1">
        <f>R32-M32</f>
        <v>13022706</v>
      </c>
    </row>
    <row r="33" spans="3:19" x14ac:dyDescent="0.25">
      <c r="C33">
        <v>6</v>
      </c>
      <c r="D33" t="s">
        <v>28</v>
      </c>
      <c r="E33">
        <v>143</v>
      </c>
      <c r="F33" s="1">
        <v>2087287</v>
      </c>
      <c r="G33" s="1">
        <f>((F33-1000000)*0.1)</f>
        <v>108728.70000000001</v>
      </c>
      <c r="H33" s="2">
        <v>76564</v>
      </c>
      <c r="I33" s="2">
        <v>157251</v>
      </c>
      <c r="J33" s="2">
        <v>3500000000</v>
      </c>
      <c r="K33" s="2">
        <v>57142857</v>
      </c>
      <c r="L33" s="1">
        <f>E33*G33</f>
        <v>15548204.100000001</v>
      </c>
      <c r="M33" s="4">
        <v>41594610</v>
      </c>
      <c r="N33">
        <v>6</v>
      </c>
      <c r="O33" t="s">
        <v>29</v>
      </c>
      <c r="P33" s="1">
        <v>18500000</v>
      </c>
      <c r="Q33" s="1">
        <v>98500000</v>
      </c>
      <c r="R33" s="4">
        <v>80000000</v>
      </c>
      <c r="S33" s="1">
        <f>R33-M33</f>
        <v>38405390</v>
      </c>
    </row>
    <row r="34" spans="3:19" x14ac:dyDescent="0.25">
      <c r="C34">
        <v>24</v>
      </c>
      <c r="D34" t="s">
        <v>67</v>
      </c>
      <c r="E34">
        <v>101</v>
      </c>
      <c r="F34" s="1">
        <v>2531164</v>
      </c>
      <c r="G34" s="1">
        <f>((F34-1000000)*0.1)</f>
        <v>153116.4</v>
      </c>
      <c r="H34" s="2">
        <v>69630</v>
      </c>
      <c r="I34" s="2">
        <v>157251</v>
      </c>
      <c r="J34" s="2">
        <v>3500000000</v>
      </c>
      <c r="K34" s="2">
        <v>57142857</v>
      </c>
      <c r="L34" s="1">
        <f>E34*G34</f>
        <v>15464756.399999999</v>
      </c>
      <c r="M34" s="4">
        <v>41678141</v>
      </c>
      <c r="N34">
        <v>24</v>
      </c>
      <c r="O34" t="s">
        <v>68</v>
      </c>
      <c r="P34" s="1">
        <v>11100000</v>
      </c>
      <c r="Q34" s="1">
        <v>81100000</v>
      </c>
      <c r="R34" s="4">
        <v>70000000</v>
      </c>
      <c r="S34" s="1">
        <f>R34-M34</f>
        <v>28321859</v>
      </c>
    </row>
    <row r="35" spans="3:19" x14ac:dyDescent="0.25">
      <c r="C35">
        <v>11</v>
      </c>
      <c r="D35" t="s">
        <v>39</v>
      </c>
      <c r="E35">
        <v>165</v>
      </c>
      <c r="F35" s="1">
        <v>1920078</v>
      </c>
      <c r="G35" s="1">
        <f>((F35-1000000)*0.1)</f>
        <v>92007.8</v>
      </c>
      <c r="H35" s="2">
        <v>99394</v>
      </c>
      <c r="I35" s="2">
        <v>157251</v>
      </c>
      <c r="J35" s="2">
        <v>3500000000</v>
      </c>
      <c r="K35" s="2">
        <v>57142857</v>
      </c>
      <c r="L35" s="1">
        <f>E35*G35</f>
        <v>15181287</v>
      </c>
      <c r="M35" s="4">
        <v>41961537</v>
      </c>
      <c r="N35">
        <v>11</v>
      </c>
      <c r="O35" t="s">
        <v>40</v>
      </c>
      <c r="P35" s="1">
        <v>37000000</v>
      </c>
      <c r="Q35" s="1">
        <v>69500000</v>
      </c>
      <c r="R35" s="4">
        <v>32500000</v>
      </c>
      <c r="S35" s="1">
        <f>R35-M35</f>
        <v>-9461537</v>
      </c>
    </row>
    <row r="36" spans="3:19" x14ac:dyDescent="0.25">
      <c r="C36">
        <v>13</v>
      </c>
      <c r="D36" t="s">
        <v>44</v>
      </c>
      <c r="E36">
        <v>128</v>
      </c>
      <c r="F36" s="1">
        <v>2070139</v>
      </c>
      <c r="G36" s="1">
        <f>((F36-1000000)*0.1)</f>
        <v>107013.90000000001</v>
      </c>
      <c r="H36" s="2">
        <v>72944</v>
      </c>
      <c r="I36" s="2">
        <v>157251</v>
      </c>
      <c r="J36" s="2">
        <v>3500000000</v>
      </c>
      <c r="K36" s="2">
        <v>57142857</v>
      </c>
      <c r="L36" s="1">
        <f>E36*G36</f>
        <v>13697779.200000001</v>
      </c>
      <c r="M36" s="4">
        <v>43445065</v>
      </c>
      <c r="N36">
        <v>13</v>
      </c>
      <c r="O36" t="s">
        <v>45</v>
      </c>
      <c r="P36" s="1">
        <v>14800000</v>
      </c>
      <c r="Q36" s="1">
        <v>121700000</v>
      </c>
      <c r="R36" s="4">
        <v>106900000</v>
      </c>
      <c r="S36" s="1">
        <f>R36-M36</f>
        <v>63454935</v>
      </c>
    </row>
    <row r="37" spans="3:19" x14ac:dyDescent="0.25">
      <c r="C37">
        <v>16</v>
      </c>
      <c r="D37" t="s">
        <v>51</v>
      </c>
      <c r="E37">
        <v>97</v>
      </c>
      <c r="F37" s="1">
        <v>2407421</v>
      </c>
      <c r="G37" s="1">
        <f>((F37-1000000)*0.1)</f>
        <v>140742.1</v>
      </c>
      <c r="H37" s="2">
        <v>86195</v>
      </c>
      <c r="I37" s="2">
        <v>157251</v>
      </c>
      <c r="J37" s="2">
        <v>3500000000</v>
      </c>
      <c r="K37" s="2">
        <v>57142857</v>
      </c>
      <c r="L37" s="1">
        <f>E37*G37</f>
        <v>13651983.700000001</v>
      </c>
      <c r="M37" s="4">
        <v>43490883</v>
      </c>
      <c r="N37">
        <v>16</v>
      </c>
      <c r="O37" t="s">
        <v>52</v>
      </c>
      <c r="P37" s="1">
        <v>18500000</v>
      </c>
      <c r="Q37" s="1">
        <v>144900000</v>
      </c>
      <c r="R37" s="4">
        <v>126400000</v>
      </c>
      <c r="S37" s="1">
        <f>R37-M37</f>
        <v>82909117</v>
      </c>
    </row>
    <row r="38" spans="3:19" x14ac:dyDescent="0.25">
      <c r="C38">
        <v>28</v>
      </c>
      <c r="D38" t="s">
        <v>75</v>
      </c>
      <c r="E38">
        <v>121</v>
      </c>
      <c r="F38" s="1">
        <v>2125425</v>
      </c>
      <c r="G38" s="1">
        <f>((F38-1000000)*0.1)</f>
        <v>112542.5</v>
      </c>
      <c r="H38" s="2">
        <v>86693</v>
      </c>
      <c r="I38" s="2">
        <v>157251</v>
      </c>
      <c r="J38" s="2">
        <v>3500000000</v>
      </c>
      <c r="K38" s="2">
        <v>57142857</v>
      </c>
      <c r="L38" s="1">
        <f>E38*G38</f>
        <v>13617642.5</v>
      </c>
      <c r="M38" s="4">
        <v>43525275</v>
      </c>
      <c r="N38">
        <v>28</v>
      </c>
      <c r="O38" t="s">
        <v>76</v>
      </c>
      <c r="P38" s="1">
        <v>25900000</v>
      </c>
      <c r="Q38" s="1">
        <v>58000000</v>
      </c>
      <c r="R38" s="4">
        <v>32100000</v>
      </c>
      <c r="S38" s="1">
        <f>R38-M38</f>
        <v>-11425275</v>
      </c>
    </row>
    <row r="39" spans="3:19" x14ac:dyDescent="0.25">
      <c r="C39">
        <v>25</v>
      </c>
      <c r="D39" t="s">
        <v>69</v>
      </c>
      <c r="E39">
        <v>106</v>
      </c>
      <c r="F39" s="1">
        <v>2255383</v>
      </c>
      <c r="G39" s="1">
        <f>((F39-1000000)*0.1)</f>
        <v>125538.3</v>
      </c>
      <c r="H39" s="2">
        <v>105882</v>
      </c>
      <c r="I39" s="2">
        <v>157251</v>
      </c>
      <c r="J39" s="2">
        <v>3500000000</v>
      </c>
      <c r="K39" s="2">
        <v>57142857</v>
      </c>
      <c r="L39" s="1">
        <f>E39*G39</f>
        <v>13307059.800000001</v>
      </c>
      <c r="M39" s="4">
        <v>43835829</v>
      </c>
      <c r="N39">
        <v>25</v>
      </c>
      <c r="O39" t="s">
        <v>70</v>
      </c>
      <c r="P39" s="1">
        <v>18500000</v>
      </c>
      <c r="Q39" s="1">
        <v>69500000</v>
      </c>
      <c r="R39" s="4">
        <v>51000000</v>
      </c>
      <c r="S39" s="1">
        <f>R39-M39</f>
        <v>7164171</v>
      </c>
    </row>
    <row r="40" spans="3:19" x14ac:dyDescent="0.25">
      <c r="C40">
        <v>35</v>
      </c>
      <c r="D40" t="s">
        <v>89</v>
      </c>
      <c r="E40">
        <v>117</v>
      </c>
      <c r="F40" s="1">
        <v>2104470</v>
      </c>
      <c r="G40" s="1">
        <f>((F40-1000000)*0.1)</f>
        <v>110447</v>
      </c>
      <c r="H40" s="2">
        <v>99486</v>
      </c>
      <c r="I40" s="2">
        <v>157251</v>
      </c>
      <c r="J40" s="2">
        <v>3500000000</v>
      </c>
      <c r="K40" s="2">
        <v>57142857</v>
      </c>
      <c r="L40" s="1">
        <f>E40*G40</f>
        <v>12922299</v>
      </c>
      <c r="M40" s="4">
        <v>44220558</v>
      </c>
      <c r="N40">
        <v>35</v>
      </c>
      <c r="O40" t="s">
        <v>90</v>
      </c>
      <c r="P40" s="1">
        <v>7400000</v>
      </c>
      <c r="Q40" s="1">
        <v>75300000</v>
      </c>
      <c r="R40" s="4">
        <v>67900000</v>
      </c>
      <c r="S40" s="1">
        <f>R40-M40</f>
        <v>23679442</v>
      </c>
    </row>
    <row r="41" spans="3:19" x14ac:dyDescent="0.25">
      <c r="C41">
        <v>33</v>
      </c>
      <c r="D41" t="s">
        <v>85</v>
      </c>
      <c r="E41">
        <v>133</v>
      </c>
      <c r="F41" s="1">
        <v>1944400</v>
      </c>
      <c r="G41" s="1">
        <f>((F41-1000000)*0.1)</f>
        <v>94440</v>
      </c>
      <c r="H41" s="2">
        <v>86957</v>
      </c>
      <c r="I41" s="2">
        <v>157251</v>
      </c>
      <c r="J41" s="2">
        <v>3500000000</v>
      </c>
      <c r="K41" s="2">
        <v>57142857</v>
      </c>
      <c r="L41" s="1">
        <f>E41*G41</f>
        <v>12560520</v>
      </c>
      <c r="M41" s="4">
        <v>44582337</v>
      </c>
      <c r="N41">
        <v>33</v>
      </c>
      <c r="O41" t="s">
        <v>86</v>
      </c>
      <c r="P41" s="1">
        <v>14800000</v>
      </c>
      <c r="Q41" s="1">
        <v>75300000</v>
      </c>
      <c r="R41" s="4">
        <v>60500000</v>
      </c>
      <c r="S41" s="1">
        <f>R41-M41</f>
        <v>15917663</v>
      </c>
    </row>
    <row r="42" spans="3:19" x14ac:dyDescent="0.25">
      <c r="C42">
        <v>47</v>
      </c>
      <c r="D42" t="s">
        <v>113</v>
      </c>
      <c r="E42">
        <v>137</v>
      </c>
      <c r="F42" s="1">
        <v>1912420</v>
      </c>
      <c r="G42" s="1">
        <f>((F42-1000000)*0.1)</f>
        <v>91242</v>
      </c>
      <c r="H42" s="2">
        <v>106938</v>
      </c>
      <c r="I42" s="2">
        <v>157251</v>
      </c>
      <c r="J42" s="2">
        <v>3500000000</v>
      </c>
      <c r="K42" s="2">
        <v>57142857</v>
      </c>
      <c r="L42" s="1">
        <f>E42*G42</f>
        <v>12500154</v>
      </c>
      <c r="M42" s="4">
        <v>44642703</v>
      </c>
      <c r="N42">
        <v>47</v>
      </c>
      <c r="O42" t="s">
        <v>114</v>
      </c>
      <c r="P42" s="1">
        <v>66600000</v>
      </c>
      <c r="Q42" s="1">
        <v>52200000</v>
      </c>
      <c r="R42" s="4">
        <v>-14400000</v>
      </c>
      <c r="S42" s="1">
        <f>R42-M42</f>
        <v>-59042703</v>
      </c>
    </row>
    <row r="43" spans="3:19" x14ac:dyDescent="0.25">
      <c r="C43">
        <v>39</v>
      </c>
      <c r="D43" t="s">
        <v>97</v>
      </c>
      <c r="E43">
        <v>120</v>
      </c>
      <c r="F43" s="1">
        <v>1985243</v>
      </c>
      <c r="G43" s="1">
        <f>((F43-1000000)*0.1)</f>
        <v>98524.3</v>
      </c>
      <c r="H43" s="2">
        <v>108150</v>
      </c>
      <c r="I43" s="2">
        <v>157251</v>
      </c>
      <c r="J43" s="2">
        <v>3500000000</v>
      </c>
      <c r="K43" s="2">
        <v>57142857</v>
      </c>
      <c r="L43" s="1">
        <f>E43*G43</f>
        <v>11822916</v>
      </c>
      <c r="M43" s="4">
        <v>45319977</v>
      </c>
      <c r="N43">
        <v>39</v>
      </c>
      <c r="O43" t="s">
        <v>98</v>
      </c>
      <c r="P43" s="1">
        <v>11100000</v>
      </c>
      <c r="Q43" s="1">
        <v>75300000</v>
      </c>
      <c r="R43" s="4">
        <v>64200000</v>
      </c>
      <c r="S43" s="1">
        <f>R43-M43</f>
        <v>18880023</v>
      </c>
    </row>
    <row r="44" spans="3:19" x14ac:dyDescent="0.25">
      <c r="C44">
        <v>7</v>
      </c>
      <c r="D44" t="s">
        <v>30</v>
      </c>
      <c r="E44">
        <v>71</v>
      </c>
      <c r="F44" s="1">
        <v>2560133</v>
      </c>
      <c r="G44" s="1">
        <f>((F44-1000000)*0.1)</f>
        <v>156013.30000000002</v>
      </c>
      <c r="H44" s="2">
        <v>69064</v>
      </c>
      <c r="I44" s="2">
        <v>157251</v>
      </c>
      <c r="J44" s="2">
        <v>3500000000</v>
      </c>
      <c r="K44" s="2">
        <v>57142857</v>
      </c>
      <c r="L44" s="1">
        <f>E44*G44</f>
        <v>11076944.300000001</v>
      </c>
      <c r="M44" s="4">
        <v>46065934</v>
      </c>
      <c r="N44">
        <v>7</v>
      </c>
      <c r="O44" t="s">
        <v>31</v>
      </c>
      <c r="P44" s="1">
        <v>7400000</v>
      </c>
      <c r="Q44" s="1">
        <v>98500000</v>
      </c>
      <c r="R44" s="4">
        <v>91100000</v>
      </c>
      <c r="S44" s="1">
        <f>R44-M44</f>
        <v>45034066</v>
      </c>
    </row>
    <row r="45" spans="3:19" x14ac:dyDescent="0.25">
      <c r="C45">
        <v>38</v>
      </c>
      <c r="D45" t="s">
        <v>95</v>
      </c>
      <c r="E45">
        <v>87</v>
      </c>
      <c r="F45" s="1">
        <v>1959569</v>
      </c>
      <c r="G45" s="1">
        <f>((F45-1000000)*0.1)</f>
        <v>95956.900000000009</v>
      </c>
      <c r="H45" s="2">
        <v>91237</v>
      </c>
      <c r="I45" s="2">
        <v>157251</v>
      </c>
      <c r="J45" s="2">
        <v>3500000000</v>
      </c>
      <c r="K45" s="2">
        <v>57142857</v>
      </c>
      <c r="L45" s="1">
        <f>E45*G45</f>
        <v>8348250.3000000007</v>
      </c>
      <c r="M45" s="4">
        <v>48794598</v>
      </c>
      <c r="N45">
        <v>38</v>
      </c>
      <c r="O45" t="s">
        <v>96</v>
      </c>
      <c r="P45" s="1">
        <v>14800000</v>
      </c>
      <c r="Q45" s="1">
        <v>86900000</v>
      </c>
      <c r="R45" s="4">
        <v>72100000</v>
      </c>
      <c r="S45" s="1">
        <f>R45-M45</f>
        <v>23305402</v>
      </c>
    </row>
    <row r="46" spans="3:19" x14ac:dyDescent="0.25">
      <c r="C46">
        <v>19</v>
      </c>
      <c r="D46" t="s">
        <v>57</v>
      </c>
      <c r="E46">
        <v>61</v>
      </c>
      <c r="F46" s="1">
        <v>2252216</v>
      </c>
      <c r="G46" s="1">
        <f>((F46-1000000)*0.1)</f>
        <v>125221.6</v>
      </c>
      <c r="H46" s="2">
        <v>70131</v>
      </c>
      <c r="I46" s="2">
        <v>157251</v>
      </c>
      <c r="J46" s="2">
        <v>3500000000</v>
      </c>
      <c r="K46" s="2">
        <v>57142857</v>
      </c>
      <c r="L46" s="1">
        <f>E46*G46</f>
        <v>7638517.6000000006</v>
      </c>
      <c r="M46" s="4">
        <v>49504315</v>
      </c>
      <c r="N46">
        <v>19</v>
      </c>
      <c r="O46" t="s">
        <v>58</v>
      </c>
      <c r="P46" s="1">
        <v>7400000</v>
      </c>
      <c r="Q46" s="1">
        <v>86900000</v>
      </c>
      <c r="R46" s="4">
        <v>79500000</v>
      </c>
      <c r="S46" s="1">
        <f>R46-M46</f>
        <v>29995685</v>
      </c>
    </row>
    <row r="47" spans="3:19" x14ac:dyDescent="0.25">
      <c r="C47">
        <v>30</v>
      </c>
      <c r="D47" t="s">
        <v>79</v>
      </c>
      <c r="E47">
        <v>80</v>
      </c>
      <c r="F47" s="1">
        <v>1850270</v>
      </c>
      <c r="G47" s="1">
        <f>((F47-1000000)*0.1)</f>
        <v>85027</v>
      </c>
      <c r="H47" s="2">
        <v>90803</v>
      </c>
      <c r="I47" s="2">
        <v>157251</v>
      </c>
      <c r="J47" s="2">
        <v>3500000000</v>
      </c>
      <c r="K47" s="2">
        <v>57142857</v>
      </c>
      <c r="L47" s="1">
        <f>E47*G47</f>
        <v>6802160</v>
      </c>
      <c r="M47" s="4">
        <v>50340697</v>
      </c>
      <c r="N47">
        <v>30</v>
      </c>
      <c r="O47" t="s">
        <v>80</v>
      </c>
      <c r="P47" s="1">
        <v>18500000</v>
      </c>
      <c r="Q47" s="1">
        <v>69500000</v>
      </c>
      <c r="R47" s="4">
        <v>51000000</v>
      </c>
      <c r="S47" s="1">
        <f>R47-M47</f>
        <v>659303</v>
      </c>
    </row>
    <row r="48" spans="3:19" x14ac:dyDescent="0.25">
      <c r="C48">
        <v>2</v>
      </c>
      <c r="D48" t="s">
        <v>20</v>
      </c>
      <c r="E48">
        <v>52</v>
      </c>
      <c r="F48" s="1">
        <v>1757122</v>
      </c>
      <c r="G48" s="1">
        <f>((F48-1000000)*0.1)</f>
        <v>75712.2</v>
      </c>
      <c r="H48" s="2">
        <v>104467</v>
      </c>
      <c r="I48" s="2">
        <v>157251</v>
      </c>
      <c r="J48" s="2">
        <v>3500000000</v>
      </c>
      <c r="K48" s="2">
        <v>57142857</v>
      </c>
      <c r="L48" s="1">
        <f>E48*G48</f>
        <v>3937034.4</v>
      </c>
      <c r="M48" s="4">
        <v>53205833</v>
      </c>
      <c r="N48">
        <v>2</v>
      </c>
      <c r="O48" t="s">
        <v>21</v>
      </c>
      <c r="P48" s="1">
        <v>11100000</v>
      </c>
      <c r="Q48" s="1">
        <v>63700000</v>
      </c>
      <c r="R48" s="4">
        <v>52600000</v>
      </c>
      <c r="S48" s="1">
        <f>R48-M48</f>
        <v>-605833</v>
      </c>
    </row>
    <row r="49" spans="3:19" x14ac:dyDescent="0.25">
      <c r="C49">
        <v>29</v>
      </c>
      <c r="D49" t="s">
        <v>77</v>
      </c>
      <c r="G49" s="1"/>
      <c r="H49" s="2">
        <v>80992</v>
      </c>
      <c r="I49" s="2">
        <v>157251</v>
      </c>
      <c r="J49" s="2">
        <v>3500000000</v>
      </c>
      <c r="K49" s="2">
        <v>57142857</v>
      </c>
      <c r="L49" s="1">
        <f>E49*G49</f>
        <v>0</v>
      </c>
      <c r="M49" s="4">
        <v>57142857</v>
      </c>
      <c r="N49">
        <v>29</v>
      </c>
      <c r="O49" t="s">
        <v>78</v>
      </c>
      <c r="P49" s="1">
        <v>7400000</v>
      </c>
      <c r="Q49" s="1">
        <v>86900000</v>
      </c>
      <c r="R49" s="4">
        <v>79500000</v>
      </c>
      <c r="S49" s="1">
        <f>R49-M49</f>
        <v>22357143</v>
      </c>
    </row>
    <row r="50" spans="3:19" x14ac:dyDescent="0.25">
      <c r="C50">
        <v>14</v>
      </c>
      <c r="D50" t="s">
        <v>47</v>
      </c>
      <c r="G50" s="1"/>
      <c r="H50" s="2">
        <v>57926</v>
      </c>
      <c r="I50" s="2">
        <v>157251</v>
      </c>
      <c r="J50" s="2">
        <v>3500000000</v>
      </c>
      <c r="K50" s="2">
        <v>57142857</v>
      </c>
      <c r="L50" s="1">
        <f>E50*G50</f>
        <v>0</v>
      </c>
      <c r="M50" s="4">
        <v>57142857</v>
      </c>
      <c r="N50">
        <v>14</v>
      </c>
      <c r="O50" t="s">
        <v>48</v>
      </c>
      <c r="P50" s="1">
        <v>11100000</v>
      </c>
      <c r="Q50" s="1">
        <v>156300000</v>
      </c>
      <c r="R50" s="4">
        <v>145200000</v>
      </c>
      <c r="S50" s="1">
        <f>R50-M50</f>
        <v>88057143</v>
      </c>
    </row>
    <row r="52" spans="3:19" x14ac:dyDescent="0.25">
      <c r="L52" s="1">
        <v>2804010086</v>
      </c>
      <c r="P52" s="1">
        <v>3502800000</v>
      </c>
    </row>
  </sheetData>
  <sortState xmlns:xlrd2="http://schemas.microsoft.com/office/spreadsheetml/2017/richdata2" ref="C2:S53">
    <sortCondition ref="M2:M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Washington State Millionaires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Bill Cavanagh</cp:lastModifiedBy>
  <dcterms:created xsi:type="dcterms:W3CDTF">2026-09-28T03:05:39Z</dcterms:created>
  <dcterms:modified xsi:type="dcterms:W3CDTF">2026-09-28T06:33:47Z</dcterms:modified>
</cp:coreProperties>
</file>